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telles\Documents\GitHub\Teensy-Odd-and-Ends\"/>
    </mc:Choice>
  </mc:AlternateContent>
  <xr:revisionPtr revIDLastSave="0" documentId="13_ncr:1_{72299BC5-5AA1-4F98-86EB-E3423EE09A04}" xr6:coauthVersionLast="47" xr6:coauthVersionMax="47" xr10:uidLastSave="{00000000-0000-0000-0000-000000000000}"/>
  <bookViews>
    <workbookView xWindow="-120" yWindow="-120" windowWidth="38640" windowHeight="15720" xr2:uid="{207FC95A-C154-4EA4-B2D9-D2F6000D8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<sst xmlns="http://schemas.openxmlformats.org/spreadsheetml/2006/main" count="433" uniqueCount="408">
  <si>
    <t>BIT</t>
  </si>
  <si>
    <t xml:space="preserve"> 0</t>
  </si>
  <si>
    <t>AD_B0_03</t>
  </si>
  <si>
    <t xml:space="preserve"> 1</t>
  </si>
  <si>
    <t>AD_B0_02</t>
  </si>
  <si>
    <t xml:space="preserve"> 2</t>
  </si>
  <si>
    <t>EMC_04</t>
  </si>
  <si>
    <t xml:space="preserve"> 3</t>
  </si>
  <si>
    <t>EMC_05</t>
  </si>
  <si>
    <t xml:space="preserve"> 4</t>
  </si>
  <si>
    <t>EMC_06</t>
  </si>
  <si>
    <t>EMC_08</t>
  </si>
  <si>
    <t>B0_10</t>
  </si>
  <si>
    <t>B1_01</t>
  </si>
  <si>
    <t>B1_00</t>
  </si>
  <si>
    <t>B0_11</t>
  </si>
  <si>
    <t>10</t>
  </si>
  <si>
    <t>B0_00</t>
  </si>
  <si>
    <t>11</t>
  </si>
  <si>
    <t>B0_02</t>
  </si>
  <si>
    <t>12</t>
  </si>
  <si>
    <t>B0_01</t>
  </si>
  <si>
    <t>13</t>
  </si>
  <si>
    <t>B0_03</t>
  </si>
  <si>
    <t>14/A0</t>
  </si>
  <si>
    <t>AD_B1_02</t>
  </si>
  <si>
    <t>15/A1</t>
  </si>
  <si>
    <t>AD_B1_03</t>
  </si>
  <si>
    <t>16/A2</t>
  </si>
  <si>
    <t>AD_B1_07</t>
  </si>
  <si>
    <t>17/A3</t>
  </si>
  <si>
    <t>AD_B1_06</t>
  </si>
  <si>
    <t>18/A4</t>
  </si>
  <si>
    <t>AD_B1_01</t>
  </si>
  <si>
    <t>19/A5</t>
  </si>
  <si>
    <t>AD_B1_00</t>
  </si>
  <si>
    <t>20/A6</t>
  </si>
  <si>
    <t>AD_B1_10</t>
  </si>
  <si>
    <t>21/A7</t>
  </si>
  <si>
    <t>AD_B1_11</t>
  </si>
  <si>
    <t>22/A8</t>
  </si>
  <si>
    <t>AD_B1_08</t>
  </si>
  <si>
    <t>23/A9</t>
  </si>
  <si>
    <t>AD_B1_09</t>
  </si>
  <si>
    <t>24/A10</t>
  </si>
  <si>
    <t>AD_B0_12</t>
  </si>
  <si>
    <t>25/A11</t>
  </si>
  <si>
    <t>AD_B0_13</t>
  </si>
  <si>
    <t>26/A12</t>
  </si>
  <si>
    <t>AD_B1_14</t>
  </si>
  <si>
    <t>27/A13</t>
  </si>
  <si>
    <t>AD_B1_15</t>
  </si>
  <si>
    <t>28</t>
  </si>
  <si>
    <t>EMC_32</t>
  </si>
  <si>
    <t>29</t>
  </si>
  <si>
    <t>EMC_31</t>
  </si>
  <si>
    <t>30</t>
  </si>
  <si>
    <t>EMC_37</t>
  </si>
  <si>
    <t>31</t>
  </si>
  <si>
    <t>EMC_36</t>
  </si>
  <si>
    <t>32</t>
  </si>
  <si>
    <t>B0_12</t>
  </si>
  <si>
    <t>33</t>
  </si>
  <si>
    <t>EMC_07</t>
  </si>
  <si>
    <t>34</t>
  </si>
  <si>
    <t xml:space="preserve">B1_13    </t>
  </si>
  <si>
    <t>35</t>
  </si>
  <si>
    <t xml:space="preserve">B1_12    </t>
  </si>
  <si>
    <t>36</t>
  </si>
  <si>
    <t xml:space="preserve">B1_02    </t>
  </si>
  <si>
    <t>37</t>
  </si>
  <si>
    <t xml:space="preserve">B1_03    </t>
  </si>
  <si>
    <t>38/A14</t>
  </si>
  <si>
    <t xml:space="preserve">AD_B1_12 </t>
  </si>
  <si>
    <t>39/A5</t>
  </si>
  <si>
    <t xml:space="preserve">AD_B1_13 </t>
  </si>
  <si>
    <t>40/A16</t>
  </si>
  <si>
    <t xml:space="preserve">AD_B1_04 </t>
  </si>
  <si>
    <t>41/A17</t>
  </si>
  <si>
    <t xml:space="preserve">AD_B1_05 </t>
  </si>
  <si>
    <t>SD_B0_03</t>
  </si>
  <si>
    <t>SD_B0_02</t>
  </si>
  <si>
    <t>SD_B0_01</t>
  </si>
  <si>
    <t>SD_B0_00</t>
  </si>
  <si>
    <t>SD_B0_05</t>
  </si>
  <si>
    <t>SD_B0_04</t>
  </si>
  <si>
    <t>EMC_24</t>
  </si>
  <si>
    <t>EMC_27</t>
  </si>
  <si>
    <t>EMC_28</t>
  </si>
  <si>
    <t>EMC_22</t>
  </si>
  <si>
    <t>EMC_26</t>
  </si>
  <si>
    <t>EMC_25</t>
  </si>
  <si>
    <t>EMC_29</t>
  </si>
  <si>
    <t>pin</t>
  </si>
  <si>
    <t xml:space="preserve"> </t>
  </si>
  <si>
    <t>AD_B0_00</t>
  </si>
  <si>
    <t>B1_04</t>
  </si>
  <si>
    <t>B1_05</t>
  </si>
  <si>
    <t>B1_06</t>
  </si>
  <si>
    <t>B1_07</t>
  </si>
  <si>
    <t>B1_08</t>
  </si>
  <si>
    <t>B1_09</t>
  </si>
  <si>
    <t>B1_10</t>
  </si>
  <si>
    <t>B1_11</t>
  </si>
  <si>
    <t>(ethernet)</t>
  </si>
  <si>
    <t>B1_14</t>
  </si>
  <si>
    <t>B1_15</t>
  </si>
  <si>
    <t>SD_B0_06</t>
  </si>
  <si>
    <t>SD_B0_07</t>
  </si>
  <si>
    <t>SD_B0_08</t>
  </si>
  <si>
    <t>SD_B0_09</t>
  </si>
  <si>
    <t>SD_B0_10</t>
  </si>
  <si>
    <t>SD_B0_11</t>
  </si>
  <si>
    <t>SD_B0_12</t>
  </si>
  <si>
    <t>SD_B0_13</t>
  </si>
  <si>
    <t>SD_B0_14</t>
  </si>
  <si>
    <t>SD_B0_15</t>
  </si>
  <si>
    <t>SD_B1_00</t>
  </si>
  <si>
    <t>SD_B1_01</t>
  </si>
  <si>
    <t>SD_B1_02</t>
  </si>
  <si>
    <t>SD_B1_03</t>
  </si>
  <si>
    <t>SD_B1_04</t>
  </si>
  <si>
    <t>SD_B1_05</t>
  </si>
  <si>
    <t>SD_B1_06</t>
  </si>
  <si>
    <t>SD_B1_07</t>
  </si>
  <si>
    <t>SD_B1_08</t>
  </si>
  <si>
    <t>SD_B1_09</t>
  </si>
  <si>
    <t>SD_B1_10</t>
  </si>
  <si>
    <t>SD_B1_11</t>
  </si>
  <si>
    <t>SD_B1_12</t>
  </si>
  <si>
    <t>SD_B1_13</t>
  </si>
  <si>
    <t>SD_B1_14</t>
  </si>
  <si>
    <t>SD_B1_15</t>
  </si>
  <si>
    <t>AD_B0_01</t>
  </si>
  <si>
    <t>AD_B0_04</t>
  </si>
  <si>
    <t>AD_B0_05</t>
  </si>
  <si>
    <t>AD_B0_06</t>
  </si>
  <si>
    <t>AD_B0_07</t>
  </si>
  <si>
    <t>AD_B0_08</t>
  </si>
  <si>
    <t>AD_B0_09</t>
  </si>
  <si>
    <t>AD_B0_10</t>
  </si>
  <si>
    <t>AD_B0_11</t>
  </si>
  <si>
    <t>AD_B0_14</t>
  </si>
  <si>
    <t>AD_B0_15</t>
  </si>
  <si>
    <t>B0_04</t>
  </si>
  <si>
    <t>B0_05</t>
  </si>
  <si>
    <t>B0_06</t>
  </si>
  <si>
    <t>B0_13</t>
  </si>
  <si>
    <t>B0_14</t>
  </si>
  <si>
    <t>B0_15</t>
  </si>
  <si>
    <t>EMC_09</t>
  </si>
  <si>
    <t>EMC_10</t>
  </si>
  <si>
    <t>EMC_11</t>
  </si>
  <si>
    <t>EMC_12</t>
  </si>
  <si>
    <t>EMC_13</t>
  </si>
  <si>
    <t>EMC_14</t>
  </si>
  <si>
    <t>EMC_15</t>
  </si>
  <si>
    <t>EMC_16</t>
  </si>
  <si>
    <t>EMC_17</t>
  </si>
  <si>
    <t>EMC_18</t>
  </si>
  <si>
    <t>EMC_19</t>
  </si>
  <si>
    <t>EMC_20</t>
  </si>
  <si>
    <t>EMC_21</t>
  </si>
  <si>
    <t>EMC_23</t>
  </si>
  <si>
    <t>EMC_30</t>
  </si>
  <si>
    <t>EMC_33</t>
  </si>
  <si>
    <t>EMC_34</t>
  </si>
  <si>
    <t>EMC_35</t>
  </si>
  <si>
    <t>EMC_00</t>
  </si>
  <si>
    <t>EMC_01</t>
  </si>
  <si>
    <t>EMC_02</t>
  </si>
  <si>
    <t>EMC_03</t>
  </si>
  <si>
    <t>(GROUND)</t>
  </si>
  <si>
    <t>(BOOTMODE0)</t>
  </si>
  <si>
    <t>(JTAG_TMS)</t>
  </si>
  <si>
    <t>(JTAG_TCK)</t>
  </si>
  <si>
    <t>(JTAG_MOD)</t>
  </si>
  <si>
    <t>(JTAG_TDI)</t>
  </si>
  <si>
    <t>(JTAG_TDO)</t>
  </si>
  <si>
    <t>(DEBUG_EN)</t>
  </si>
  <si>
    <t>(JTAG_TRST)</t>
  </si>
  <si>
    <t>48 (SEMS_CAS)</t>
  </si>
  <si>
    <t>53 (SEMC_RAS)</t>
  </si>
  <si>
    <t>52 (SEMC_CLK)</t>
  </si>
  <si>
    <t>49 (SEMC_CKE)</t>
  </si>
  <si>
    <t>50 (SEMC_WE)</t>
  </si>
  <si>
    <t>54 (SEMC_CS0)</t>
  </si>
  <si>
    <t>51 (SEMC_BA1)</t>
  </si>
  <si>
    <t>EMC_38</t>
  </si>
  <si>
    <t>EMC_39</t>
  </si>
  <si>
    <t>EMC_40</t>
  </si>
  <si>
    <t>(VHST_PWR_EN)</t>
  </si>
  <si>
    <t>44 (SD_CLK)</t>
  </si>
  <si>
    <t>45 (SD_CMD)</t>
  </si>
  <si>
    <t>43 (SD_D0)</t>
  </si>
  <si>
    <t>42 (SD_D1)</t>
  </si>
  <si>
    <t>46 (SD_D3)</t>
  </si>
  <si>
    <t>47 (SD_D2)</t>
  </si>
  <si>
    <t>(32KHZ_TEST)</t>
  </si>
  <si>
    <t>(QSPI_CS)</t>
  </si>
  <si>
    <t>(QSPI_CLK)</t>
  </si>
  <si>
    <t>(QSPI_I0)</t>
  </si>
  <si>
    <t>(QSPI_I1)</t>
  </si>
  <si>
    <t>(QSPI_I2)</t>
  </si>
  <si>
    <t>(QSPI_I3)</t>
  </si>
  <si>
    <t>TEENSY 4.1 PROCESSOR PORT PIN USAGE</t>
  </si>
  <si>
    <t>(DEBUG_SWO)</t>
  </si>
  <si>
    <t>(MUST BE NC)</t>
  </si>
  <si>
    <t>9</t>
  </si>
  <si>
    <t>GPIO1/6</t>
  </si>
  <si>
    <t>GPIO2/7</t>
  </si>
  <si>
    <t>GPIO3/8</t>
  </si>
  <si>
    <t>GPIO4/9</t>
  </si>
  <si>
    <t>B0_07</t>
  </si>
  <si>
    <t>B0_08</t>
  </si>
  <si>
    <t>B0_09</t>
  </si>
  <si>
    <t>83</t>
  </si>
  <si>
    <t>84</t>
  </si>
  <si>
    <t>85</t>
  </si>
  <si>
    <t>82</t>
  </si>
  <si>
    <t>81</t>
  </si>
  <si>
    <t>80</t>
  </si>
  <si>
    <t>EMC_41</t>
  </si>
  <si>
    <t>78</t>
  </si>
  <si>
    <t>77</t>
  </si>
  <si>
    <t>76</t>
  </si>
  <si>
    <t>75</t>
  </si>
  <si>
    <t>74</t>
  </si>
  <si>
    <t>72</t>
  </si>
  <si>
    <t>70</t>
  </si>
  <si>
    <t>71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</si>
  <si>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</si>
  <si>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</si>
  <si>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</si>
  <si>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</si>
  <si>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</si>
  <si>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</si>
  <si>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</si>
  <si>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</si>
  <si>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</si>
  <si>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</si>
  <si>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</si>
  <si>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</si>
  <si>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</si>
  <si>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55</t>
  </si>
  <si>
    <t>56</t>
  </si>
  <si>
    <t>87</t>
  </si>
  <si>
    <t>88</t>
  </si>
  <si>
    <t>89</t>
  </si>
  <si>
    <t>90</t>
  </si>
  <si>
    <t>91</t>
  </si>
  <si>
    <t xml:space="preserve">Shows where all processor I/O  pins and, if they connect on the T4.1, what pin/function they go to. </t>
  </si>
  <si>
    <t>NOTE: Although high numbered pins are assigned, Teensy compiler will not recognize pins above CORE_NUM_DIGITAL (55). So for example , pinMode(85, INPUT) will be ignored.</t>
  </si>
  <si>
    <t>MISO</t>
  </si>
  <si>
    <t>MOSI</t>
  </si>
  <si>
    <t>SCK (LED)</t>
  </si>
  <si>
    <t>CS</t>
  </si>
  <si>
    <t>TX2</t>
  </si>
  <si>
    <t>RX2</t>
  </si>
  <si>
    <t>TX8</t>
  </si>
  <si>
    <t>RX8</t>
  </si>
  <si>
    <t>RX7</t>
  </si>
  <si>
    <t>TX7</t>
  </si>
  <si>
    <t>CRX3</t>
  </si>
  <si>
    <t>CTX3</t>
  </si>
  <si>
    <t>TX3</t>
  </si>
  <si>
    <t>RX3</t>
  </si>
  <si>
    <t>TX5</t>
  </si>
  <si>
    <t>RX5</t>
  </si>
  <si>
    <t>SCL</t>
  </si>
  <si>
    <t>SDA</t>
  </si>
  <si>
    <t>TX4/SDA1</t>
  </si>
  <si>
    <t>RX4/SCL1</t>
  </si>
  <si>
    <t>TX6/SCL2</t>
  </si>
  <si>
    <t>RX6/SDA2</t>
  </si>
  <si>
    <t>FUNCTION(S)</t>
  </si>
  <si>
    <t>ARDUINO PIN</t>
  </si>
  <si>
    <t>SCK1</t>
  </si>
  <si>
    <t>MOSI1</t>
  </si>
  <si>
    <t>RX1/CS1</t>
  </si>
  <si>
    <t>TX1/MISO1</t>
  </si>
  <si>
    <t>ETH_RST</t>
  </si>
  <si>
    <t>ETH_INT</t>
  </si>
  <si>
    <t>6</t>
  </si>
  <si>
    <t>D7</t>
  </si>
  <si>
    <t>E7</t>
  </si>
  <si>
    <t>E8</t>
  </si>
  <si>
    <t>D8</t>
  </si>
  <si>
    <t>BALL</t>
  </si>
  <si>
    <t>C8</t>
  </si>
  <si>
    <t>C9</t>
  </si>
  <si>
    <t>C6</t>
  </si>
  <si>
    <t>C3</t>
  </si>
  <si>
    <t>C7</t>
  </si>
  <si>
    <t>B8</t>
  </si>
  <si>
    <t>A8</t>
  </si>
  <si>
    <t>A9</t>
  </si>
  <si>
    <t>B9</t>
  </si>
  <si>
    <t>D9</t>
  </si>
  <si>
    <t>A10</t>
  </si>
  <si>
    <t>D10</t>
  </si>
  <si>
    <t>E10</t>
  </si>
  <si>
    <t>C10</t>
  </si>
  <si>
    <t>E11</t>
  </si>
  <si>
    <t>A11</t>
  </si>
  <si>
    <t>B11</t>
  </si>
  <si>
    <t>C11</t>
  </si>
  <si>
    <t>D11</t>
  </si>
  <si>
    <t>E12</t>
  </si>
  <si>
    <t>D12</t>
  </si>
  <si>
    <t>C12</t>
  </si>
  <si>
    <t>B12</t>
  </si>
  <si>
    <t>A12</t>
  </si>
  <si>
    <t>A13</t>
  </si>
  <si>
    <t>B13</t>
  </si>
  <si>
    <t>C13</t>
  </si>
  <si>
    <t>D13</t>
  </si>
  <si>
    <t>D14</t>
  </si>
  <si>
    <t>C14</t>
  </si>
  <si>
    <t>B14</t>
  </si>
  <si>
    <t>M14</t>
  </si>
  <si>
    <t>E14</t>
  </si>
  <si>
    <t>G14</t>
  </si>
  <si>
    <t>J14</t>
  </si>
  <si>
    <t>H14</t>
  </si>
  <si>
    <t>K14</t>
  </si>
  <si>
    <t>L14</t>
  </si>
  <si>
    <t>F13</t>
  </si>
  <si>
    <t>F12</t>
  </si>
  <si>
    <t>F11</t>
  </si>
  <si>
    <t>G10</t>
  </si>
  <si>
    <t>H10</t>
  </si>
  <si>
    <t>L10</t>
  </si>
  <si>
    <t>F14</t>
  </si>
  <si>
    <t>M11</t>
  </si>
  <si>
    <t>G12</t>
  </si>
  <si>
    <t>H13</t>
  </si>
  <si>
    <t>H12</t>
  </si>
  <si>
    <t>H11</t>
  </si>
  <si>
    <t>M13</t>
  </si>
  <si>
    <t>M12</t>
  </si>
  <si>
    <t>L11</t>
  </si>
  <si>
    <t>L12</t>
  </si>
  <si>
    <t>L13</t>
  </si>
  <si>
    <t>K11</t>
  </si>
  <si>
    <t>K12</t>
  </si>
  <si>
    <t>J11</t>
  </si>
  <si>
    <t>J12</t>
  </si>
  <si>
    <t>K10</t>
  </si>
  <si>
    <t>H5</t>
  </si>
  <si>
    <t>G4</t>
  </si>
  <si>
    <t>G1</t>
  </si>
  <si>
    <t>K1</t>
  </si>
  <si>
    <t>H1</t>
  </si>
  <si>
    <t>J1</t>
  </si>
  <si>
    <t>F1</t>
  </si>
  <si>
    <t>E1</t>
  </si>
  <si>
    <t>D1</t>
  </si>
  <si>
    <t>C1</t>
  </si>
  <si>
    <t>C4</t>
  </si>
  <si>
    <t>C5</t>
  </si>
  <si>
    <t>B1</t>
  </si>
  <si>
    <t>B2</t>
  </si>
  <si>
    <t>B3</t>
  </si>
  <si>
    <t>B4</t>
  </si>
  <si>
    <t>B7</t>
  </si>
  <si>
    <t>C2</t>
  </si>
  <si>
    <t>D2</t>
  </si>
  <si>
    <t>F2</t>
  </si>
  <si>
    <t>G3</t>
  </si>
  <si>
    <t>G2</t>
  </si>
  <si>
    <t>F3</t>
  </si>
  <si>
    <t>E3</t>
  </si>
  <si>
    <t>D3</t>
  </si>
  <si>
    <t>A3</t>
  </si>
  <si>
    <t>A4</t>
  </si>
  <si>
    <t>D4</t>
  </si>
  <si>
    <t>E4</t>
  </si>
  <si>
    <t>F4</t>
  </si>
  <si>
    <t>H4</t>
  </si>
  <si>
    <t>G5</t>
  </si>
  <si>
    <t>E5</t>
  </si>
  <si>
    <t>D5</t>
  </si>
  <si>
    <t>A5</t>
  </si>
  <si>
    <t>A6</t>
  </si>
  <si>
    <t>B6</t>
  </si>
  <si>
    <t>D6</t>
  </si>
  <si>
    <t>A7</t>
  </si>
  <si>
    <t>A2</t>
  </si>
  <si>
    <t>H3</t>
  </si>
  <si>
    <t>H2</t>
  </si>
  <si>
    <t>J2</t>
  </si>
  <si>
    <t>J4</t>
  </si>
  <si>
    <t>J3</t>
  </si>
  <si>
    <t>L3</t>
  </si>
  <si>
    <t>L4</t>
  </si>
  <si>
    <t>P2</t>
  </si>
  <si>
    <t>P3</t>
  </si>
  <si>
    <t>P4</t>
  </si>
  <si>
    <t>P5</t>
  </si>
  <si>
    <t>N4</t>
  </si>
  <si>
    <t>N3</t>
  </si>
  <si>
    <t>M3</t>
  </si>
  <si>
    <t>M4</t>
  </si>
  <si>
    <t>M5</t>
  </si>
  <si>
    <t>L5</t>
  </si>
  <si>
    <t>G11</t>
  </si>
  <si>
    <t>J13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</si>
</sst>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3" xfId="0" applyNumberFormat="1" applyFont="1" applyBorder="1"/>
    <xf numFmtId="49" fontId="1" fillId="0" borderId="2" xfId="0" applyNumberFormat="1" applyFont="1" applyBorder="1"/>
    <xf numFmtId="49" fontId="0" fillId="0" borderId="3" xfId="0" applyNumberFormat="1" applyBorder="1"/>
    <xf numFmtId="49" fontId="0" fillId="0" borderId="2" xfId="0" applyNumberFormat="1" applyBorder="1"/>
    <xf numFmtId="49" fontId="1" fillId="0" borderId="0" xfId="0" applyNumberFormat="1" applyFont="1"/>
    <xf numFmtId="0" fontId="0" fillId="0" borderId="2" xfId="0" applyBorder="1"/>
    <xf numFmtId="0" fontId="0" fillId="0" borderId="4" xfId="0" applyBorder="1"/>
    <xf numFmtId="0" fontId="1" fillId="0" borderId="2" xfId="0" applyFont="1" applyBorder="1"/>
    <xf numFmtId="49" fontId="1" fillId="0" borderId="5" xfId="0" applyNumberFormat="1" applyFont="1" applyBorder="1"/>
    <xf numFmtId="49" fontId="0" fillId="0" borderId="6" xfId="0" applyNumberFormat="1" applyBorder="1"/>
    <xf numFmtId="49" fontId="0" fillId="0" borderId="7" xfId="0" applyNumberForma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49" fontId="0" fillId="0" borderId="9" xfId="0" applyNumberFormat="1" applyBorder="1"/>
    <xf numFmtId="49" fontId="0" fillId="0" borderId="8" xfId="0" applyNumberFormat="1" applyBorder="1"/>
    <xf numFmtId="49" fontId="0" fillId="0" borderId="10" xfId="0" applyNumberFormat="1" applyBorder="1"/>
    <xf numFmtId="0" fontId="0" fillId="0" borderId="1" xfId="0" applyBorder="1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0" fillId="0" borderId="4" xfId="0" applyBorder="1"/>
    <xf numFmtId="49" fontId="0" fillId="0" borderId="4" xfId="0" applyNumberForma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BE50-9C77-4DF8-ABEC-98B97523EA1E}">
  <dimension ref="A1:S47"/>
  <sheetViews>
    <sheetView tabSelected="1" topLeftCell="A15" zoomScale="130" zoomScaleNormal="130" workbookViewId="0">
      <selection activeCell="H38" sqref="H38"/>
    </sheetView>
  </sheetViews>
  <sheetFormatPr defaultColWidth="9.140625" defaultRowHeight="15" x14ac:dyDescent="0.25"/>
  <cols>
    <col min="1" max="1" width="6.28515625" customWidth="1"/>
    <col min="2" max="3" width="8.85546875" customWidth="1"/>
    <col min="4" max="5" width="15.42578125" customWidth="1"/>
    <col min="6" max="7" width="10.28515625" customWidth="1"/>
    <col min="8" max="8" width="16.85546875" customWidth="1"/>
    <col min="9" max="9" width="13.5703125" customWidth="1"/>
    <col min="10" max="10" width="6.85546875" customWidth="1"/>
    <col min="11" max="12" width="9.28515625" customWidth="1"/>
    <col min="13" max="13" width="15.28515625" customWidth="1"/>
    <col min="14" max="14" width="12.7109375" style="1" customWidth="1"/>
    <col min="15" max="15" width="6.85546875" customWidth="1"/>
    <col min="16" max="17" width="10.7109375" customWidth="1"/>
    <col min="18" max="18" width="13.85546875" customWidth="1"/>
    <col min="19" max="19" width="13" style="1" customWidth="1"/>
    <col min="20" max="16384" width="9.140625" style="1"/>
  </cols>
  <sheetData>
    <row r="1" spans="1:19" customFormat="1" x14ac:dyDescent="0.25">
      <c r="A1" s="21" t="s">
        <v>205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8"/>
    </row>
    <row r="2" spans="1:19" customFormat="1" x14ac:dyDescent="0.25">
      <c r="A2" s="23" t="s">
        <v>251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9"/>
    </row>
    <row r="3" spans="1:19" customFormat="1" ht="27.75" customHeight="1" x14ac:dyDescent="0.25">
      <c r="A3" s="25" t="s">
        <v>252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9"/>
    </row>
    <row r="4" spans="1:19" customFormat="1" x14ac:dyDescent="0.25">
      <c r="A4" s="3" t="s">
        <v>0</v>
      </c>
      <c r="B4" s="4" t="s">
        <v>210</v>
      </c>
      <c r="C4" s="4" t="s">
        <v>288</v>
      </c>
      <c r="D4" s="3" t="s">
        <v>276</v>
      </c>
      <c r="E4" s="4" t="s">
        <v>275</v>
      </c>
      <c r="F4" s="11" t="s">
        <v>209</v>
      </c>
      <c r="G4" s="4" t="s">
        <v>288</v>
      </c>
      <c r="H4" s="3" t="s">
        <v>276</v>
      </c>
      <c r="I4" s="4" t="s">
        <v>275</v>
      </c>
      <c r="J4" s="14" t="s">
        <v>0</v>
      </c>
      <c r="K4" s="4" t="s">
        <v>212</v>
      </c>
      <c r="L4" s="4" t="s">
        <v>288</v>
      </c>
      <c r="M4" s="4" t="s">
        <v>276</v>
      </c>
      <c r="N4" s="4" t="s">
        <v>275</v>
      </c>
      <c r="O4" s="10" t="s">
        <v>0</v>
      </c>
      <c r="P4" s="4" t="s">
        <v>211</v>
      </c>
      <c r="Q4" s="4" t="s">
        <v>288</v>
      </c>
      <c r="R4" s="4" t="s">
        <v>93</v>
      </c>
      <c r="S4" s="8" t="s">
        <v>275</v>
      </c>
    </row>
    <row r="5" spans="1:19" customFormat="1" x14ac:dyDescent="0.25">
      <c r="A5" s="2">
        <v>0</v>
      </c>
      <c r="B5" s="1" t="s">
        <v>17</v>
      </c>
      <c r="C5" s="1" t="s">
        <v>284</v>
      </c>
      <c r="D5" s="2" t="s">
        <v>16</v>
      </c>
      <c r="E5" s="1" t="s">
        <v>256</v>
      </c>
      <c r="F5" s="12" t="s">
        <v>95</v>
      </c>
      <c r="G5" s="27" t="s">
        <v>320</v>
      </c>
      <c r="H5" s="2" t="s">
        <v>198</v>
      </c>
      <c r="I5" s="1"/>
      <c r="J5" s="15">
        <v>0</v>
      </c>
      <c r="K5" s="1" t="s">
        <v>168</v>
      </c>
      <c r="L5" s="1" t="s">
        <v>372</v>
      </c>
      <c r="M5" s="1" t="s">
        <v>244</v>
      </c>
      <c r="N5" s="1"/>
      <c r="O5">
        <v>0</v>
      </c>
      <c r="P5" s="1" t="s">
        <v>83</v>
      </c>
      <c r="Q5" s="1" t="s">
        <v>392</v>
      </c>
      <c r="R5" s="1" t="s">
        <v>193</v>
      </c>
    </row>
    <row r="6" spans="1:19" customFormat="1" x14ac:dyDescent="0.25">
      <c r="A6" s="2">
        <f>A5+1</f>
        <v>1</v>
      </c>
      <c r="B6" s="1" t="s">
        <v>21</v>
      </c>
      <c r="C6" s="1" t="s">
        <v>285</v>
      </c>
      <c r="D6" s="2" t="s">
        <v>20</v>
      </c>
      <c r="E6" s="1" t="s">
        <v>253</v>
      </c>
      <c r="F6" s="12" t="s">
        <v>133</v>
      </c>
      <c r="G6" s="27" t="s">
        <v>331</v>
      </c>
      <c r="H6" s="2" t="s">
        <v>246</v>
      </c>
      <c r="I6" s="1"/>
      <c r="J6" s="15">
        <f>J5+1</f>
        <v>1</v>
      </c>
      <c r="K6" s="1" t="s">
        <v>169</v>
      </c>
      <c r="L6" s="1" t="s">
        <v>371</v>
      </c>
      <c r="M6" s="1" t="s">
        <v>179</v>
      </c>
      <c r="N6" s="1"/>
      <c r="O6">
        <f>O5+1</f>
        <v>1</v>
      </c>
      <c r="P6" s="1" t="s">
        <v>82</v>
      </c>
      <c r="Q6" s="1" t="s">
        <v>393</v>
      </c>
      <c r="R6" s="1" t="s">
        <v>192</v>
      </c>
    </row>
    <row r="7" spans="1:19" customFormat="1" x14ac:dyDescent="0.25">
      <c r="A7" s="2">
        <f t="shared" ref="A7:A47" si="0">A6+1</f>
        <v>2</v>
      </c>
      <c r="B7" s="1" t="s">
        <v>19</v>
      </c>
      <c r="C7" s="1" t="s">
        <v>286</v>
      </c>
      <c r="D7" s="2" t="s">
        <v>18</v>
      </c>
      <c r="E7" s="1" t="s">
        <v>254</v>
      </c>
      <c r="F7" s="12" t="s">
        <v>4</v>
      </c>
      <c r="G7" s="27" t="s">
        <v>334</v>
      </c>
      <c r="H7" s="2" t="s">
        <v>3</v>
      </c>
      <c r="I7" s="1" t="s">
        <v>280</v>
      </c>
      <c r="J7" s="15">
        <f t="shared" ref="J7:J47" si="1">J6+1</f>
        <v>2</v>
      </c>
      <c r="K7" s="1" t="s">
        <v>170</v>
      </c>
      <c r="L7" s="1" t="s">
        <v>378</v>
      </c>
      <c r="M7" s="1" t="s">
        <v>243</v>
      </c>
      <c r="N7" s="1"/>
      <c r="O7">
        <f t="shared" ref="O7:O36" si="2">O6+1</f>
        <v>2</v>
      </c>
      <c r="P7" s="1" t="s">
        <v>81</v>
      </c>
      <c r="Q7" s="1" t="s">
        <v>354</v>
      </c>
      <c r="R7" s="1" t="s">
        <v>194</v>
      </c>
    </row>
    <row r="8" spans="1:19" customFormat="1" x14ac:dyDescent="0.25">
      <c r="A8" s="2">
        <f t="shared" si="0"/>
        <v>3</v>
      </c>
      <c r="B8" s="1" t="s">
        <v>23</v>
      </c>
      <c r="C8" s="1" t="s">
        <v>287</v>
      </c>
      <c r="D8" s="2" t="s">
        <v>22</v>
      </c>
      <c r="E8" s="1" t="s">
        <v>255</v>
      </c>
      <c r="F8" s="12" t="s">
        <v>2</v>
      </c>
      <c r="G8" s="27" t="s">
        <v>406</v>
      </c>
      <c r="H8" s="2" t="s">
        <v>1</v>
      </c>
      <c r="I8" s="1" t="s">
        <v>279</v>
      </c>
      <c r="J8" s="15">
        <f t="shared" si="1"/>
        <v>3</v>
      </c>
      <c r="K8" s="1" t="s">
        <v>171</v>
      </c>
      <c r="L8" s="1" t="s">
        <v>350</v>
      </c>
      <c r="M8" s="1" t="s">
        <v>242</v>
      </c>
      <c r="N8" s="1"/>
      <c r="O8">
        <f t="shared" si="2"/>
        <v>3</v>
      </c>
      <c r="P8" s="1" t="s">
        <v>80</v>
      </c>
      <c r="Q8" s="1" t="s">
        <v>352</v>
      </c>
      <c r="R8" s="1" t="s">
        <v>195</v>
      </c>
    </row>
    <row r="9" spans="1:19" customFormat="1" x14ac:dyDescent="0.25">
      <c r="A9" s="2">
        <f t="shared" si="0"/>
        <v>4</v>
      </c>
      <c r="B9" s="1" t="s">
        <v>144</v>
      </c>
      <c r="C9" s="1" t="s">
        <v>289</v>
      </c>
      <c r="D9" s="2" t="s">
        <v>248</v>
      </c>
      <c r="E9" s="1"/>
      <c r="F9" s="12" t="s">
        <v>134</v>
      </c>
      <c r="G9" s="27" t="s">
        <v>329</v>
      </c>
      <c r="H9" s="2" t="s">
        <v>173</v>
      </c>
      <c r="I9" s="1"/>
      <c r="J9" s="15">
        <f t="shared" si="1"/>
        <v>4</v>
      </c>
      <c r="K9" s="1" t="s">
        <v>6</v>
      </c>
      <c r="L9" s="1" t="s">
        <v>368</v>
      </c>
      <c r="M9" s="1" t="s">
        <v>5</v>
      </c>
      <c r="N9" s="1"/>
      <c r="O9">
        <f t="shared" si="2"/>
        <v>4</v>
      </c>
      <c r="P9" s="1" t="s">
        <v>85</v>
      </c>
      <c r="Q9" s="1" t="s">
        <v>390</v>
      </c>
      <c r="R9" s="1" t="s">
        <v>197</v>
      </c>
    </row>
    <row r="10" spans="1:19" customFormat="1" x14ac:dyDescent="0.25">
      <c r="A10" s="2">
        <f t="shared" si="0"/>
        <v>5</v>
      </c>
      <c r="B10" s="1" t="s">
        <v>145</v>
      </c>
      <c r="C10" s="1" t="s">
        <v>294</v>
      </c>
      <c r="D10" s="2" t="s">
        <v>249</v>
      </c>
      <c r="E10" s="1"/>
      <c r="F10" s="12" t="s">
        <v>135</v>
      </c>
      <c r="G10" s="27" t="s">
        <v>322</v>
      </c>
      <c r="H10" s="2" t="s">
        <v>172</v>
      </c>
      <c r="I10" s="1"/>
      <c r="J10" s="15">
        <f t="shared" si="1"/>
        <v>5</v>
      </c>
      <c r="K10" s="1" t="s">
        <v>8</v>
      </c>
      <c r="L10" s="1" t="s">
        <v>380</v>
      </c>
      <c r="M10" s="1" t="s">
        <v>7</v>
      </c>
      <c r="N10" s="1"/>
      <c r="O10">
        <f t="shared" si="2"/>
        <v>5</v>
      </c>
      <c r="P10" s="1" t="s">
        <v>84</v>
      </c>
      <c r="Q10" s="1" t="s">
        <v>391</v>
      </c>
      <c r="R10" s="1" t="s">
        <v>196</v>
      </c>
    </row>
    <row r="11" spans="1:19" customFormat="1" x14ac:dyDescent="0.25">
      <c r="A11" s="2">
        <f t="shared" si="0"/>
        <v>6</v>
      </c>
      <c r="B11" s="1" t="s">
        <v>146</v>
      </c>
      <c r="C11" s="1" t="s">
        <v>295</v>
      </c>
      <c r="D11" s="2" t="s">
        <v>250</v>
      </c>
      <c r="E11" s="1"/>
      <c r="F11" s="12" t="s">
        <v>136</v>
      </c>
      <c r="G11" s="27" t="s">
        <v>321</v>
      </c>
      <c r="H11" s="2" t="s">
        <v>174</v>
      </c>
      <c r="I11" s="1"/>
      <c r="J11" s="15">
        <f t="shared" si="1"/>
        <v>6</v>
      </c>
      <c r="K11" s="1" t="s">
        <v>10</v>
      </c>
      <c r="L11" s="1" t="s">
        <v>349</v>
      </c>
      <c r="M11" s="1" t="s">
        <v>9</v>
      </c>
      <c r="N11" s="1"/>
      <c r="O11">
        <f t="shared" si="2"/>
        <v>6</v>
      </c>
      <c r="P11" s="1" t="s">
        <v>107</v>
      </c>
      <c r="Q11" s="1" t="s">
        <v>94</v>
      </c>
      <c r="R11" s="1"/>
    </row>
    <row r="12" spans="1:19" customFormat="1" x14ac:dyDescent="0.25">
      <c r="A12" s="2">
        <f t="shared" si="0"/>
        <v>7</v>
      </c>
      <c r="B12" s="1" t="s">
        <v>213</v>
      </c>
      <c r="C12" s="1" t="s">
        <v>296</v>
      </c>
      <c r="D12" s="20"/>
      <c r="E12" s="1"/>
      <c r="F12" s="12" t="s">
        <v>137</v>
      </c>
      <c r="G12" s="27" t="s">
        <v>328</v>
      </c>
      <c r="H12" s="2" t="s">
        <v>175</v>
      </c>
      <c r="I12" s="1"/>
      <c r="J12" s="15">
        <f t="shared" si="1"/>
        <v>7</v>
      </c>
      <c r="K12" s="1" t="s">
        <v>63</v>
      </c>
      <c r="L12" s="1" t="s">
        <v>379</v>
      </c>
      <c r="M12" s="1" t="s">
        <v>62</v>
      </c>
      <c r="N12" s="1"/>
      <c r="O12">
        <f t="shared" si="2"/>
        <v>7</v>
      </c>
      <c r="P12" s="1" t="s">
        <v>108</v>
      </c>
      <c r="Q12" s="1" t="s">
        <v>94</v>
      </c>
      <c r="R12" s="1"/>
    </row>
    <row r="13" spans="1:19" customFormat="1" x14ac:dyDescent="0.25">
      <c r="A13" s="2">
        <f t="shared" si="0"/>
        <v>8</v>
      </c>
      <c r="B13" s="1" t="s">
        <v>214</v>
      </c>
      <c r="C13" s="1" t="s">
        <v>297</v>
      </c>
      <c r="D13" s="20"/>
      <c r="E13" s="1"/>
      <c r="F13" s="12" t="s">
        <v>138</v>
      </c>
      <c r="G13" s="27" t="s">
        <v>327</v>
      </c>
      <c r="H13" s="2" t="s">
        <v>176</v>
      </c>
      <c r="I13" s="1"/>
      <c r="J13" s="15">
        <f t="shared" si="1"/>
        <v>8</v>
      </c>
      <c r="K13" s="1" t="s">
        <v>11</v>
      </c>
      <c r="L13" s="1" t="s">
        <v>389</v>
      </c>
      <c r="M13" s="1">
        <v>5</v>
      </c>
      <c r="N13" s="1"/>
      <c r="O13">
        <f t="shared" si="2"/>
        <v>8</v>
      </c>
      <c r="P13" s="1" t="s">
        <v>109</v>
      </c>
      <c r="Q13" s="1"/>
      <c r="R13" s="1"/>
    </row>
    <row r="14" spans="1:19" customFormat="1" x14ac:dyDescent="0.25">
      <c r="A14" s="2">
        <f t="shared" si="0"/>
        <v>9</v>
      </c>
      <c r="B14" s="1" t="s">
        <v>215</v>
      </c>
      <c r="C14" s="1" t="s">
        <v>290</v>
      </c>
      <c r="D14" s="2" t="s">
        <v>94</v>
      </c>
      <c r="E14" s="1"/>
      <c r="F14" s="12" t="s">
        <v>139</v>
      </c>
      <c r="G14" s="27" t="s">
        <v>333</v>
      </c>
      <c r="H14" s="2" t="s">
        <v>177</v>
      </c>
      <c r="I14" s="1"/>
      <c r="J14" s="15">
        <f t="shared" si="1"/>
        <v>9</v>
      </c>
      <c r="K14" s="1" t="s">
        <v>150</v>
      </c>
      <c r="L14" s="1" t="s">
        <v>366</v>
      </c>
      <c r="M14" s="1" t="s">
        <v>241</v>
      </c>
      <c r="N14" s="1"/>
      <c r="O14">
        <f t="shared" si="2"/>
        <v>9</v>
      </c>
      <c r="P14" s="1" t="s">
        <v>110</v>
      </c>
      <c r="Q14" s="1"/>
      <c r="R14" s="1"/>
    </row>
    <row r="15" spans="1:19" customFormat="1" x14ac:dyDescent="0.25">
      <c r="A15" s="2">
        <f t="shared" si="0"/>
        <v>10</v>
      </c>
      <c r="B15" s="1" t="s">
        <v>12</v>
      </c>
      <c r="C15" s="1" t="s">
        <v>298</v>
      </c>
      <c r="D15" s="2" t="s">
        <v>283</v>
      </c>
      <c r="E15" s="1"/>
      <c r="F15" s="12" t="s">
        <v>140</v>
      </c>
      <c r="G15" s="27" t="s">
        <v>322</v>
      </c>
      <c r="H15" s="2" t="s">
        <v>178</v>
      </c>
      <c r="I15" s="1"/>
      <c r="J15" s="15">
        <f t="shared" si="1"/>
        <v>10</v>
      </c>
      <c r="K15" s="1" t="s">
        <v>151</v>
      </c>
      <c r="L15" s="1" t="s">
        <v>351</v>
      </c>
      <c r="M15" s="1" t="s">
        <v>240</v>
      </c>
      <c r="N15" s="1"/>
      <c r="O15">
        <f t="shared" si="2"/>
        <v>10</v>
      </c>
      <c r="P15" s="1" t="s">
        <v>111</v>
      </c>
      <c r="Q15" s="1"/>
      <c r="R15" s="1"/>
    </row>
    <row r="16" spans="1:19" customFormat="1" x14ac:dyDescent="0.25">
      <c r="A16" s="2">
        <f t="shared" si="0"/>
        <v>11</v>
      </c>
      <c r="B16" s="1" t="s">
        <v>15</v>
      </c>
      <c r="C16" s="1" t="s">
        <v>299</v>
      </c>
      <c r="D16" s="2" t="s">
        <v>208</v>
      </c>
      <c r="E16" s="1"/>
      <c r="F16" s="12" t="s">
        <v>141</v>
      </c>
      <c r="G16" s="27" t="s">
        <v>330</v>
      </c>
      <c r="H16" s="2" t="s">
        <v>180</v>
      </c>
      <c r="I16" s="1"/>
      <c r="J16" s="15">
        <f t="shared" si="1"/>
        <v>11</v>
      </c>
      <c r="K16" s="1" t="s">
        <v>152</v>
      </c>
      <c r="L16" s="1" t="s">
        <v>369</v>
      </c>
      <c r="M16" s="1" t="s">
        <v>239</v>
      </c>
      <c r="N16" s="1"/>
      <c r="O16">
        <f t="shared" si="2"/>
        <v>11</v>
      </c>
      <c r="P16" s="1" t="s">
        <v>112</v>
      </c>
      <c r="Q16" s="1"/>
      <c r="R16" s="1"/>
    </row>
    <row r="17" spans="1:19" customFormat="1" x14ac:dyDescent="0.25">
      <c r="A17" s="2">
        <f t="shared" si="0"/>
        <v>12</v>
      </c>
      <c r="B17" s="1" t="s">
        <v>61</v>
      </c>
      <c r="C17" s="1" t="s">
        <v>302</v>
      </c>
      <c r="D17" s="2" t="s">
        <v>60</v>
      </c>
      <c r="E17" s="1"/>
      <c r="F17" s="12" t="s">
        <v>45</v>
      </c>
      <c r="G17" s="27" t="s">
        <v>325</v>
      </c>
      <c r="H17" s="2" t="s">
        <v>44</v>
      </c>
      <c r="I17" s="1" t="s">
        <v>273</v>
      </c>
      <c r="J17" s="15">
        <f t="shared" si="1"/>
        <v>12</v>
      </c>
      <c r="K17" s="1" t="s">
        <v>153</v>
      </c>
      <c r="L17" s="1" t="s">
        <v>353</v>
      </c>
      <c r="M17" s="1" t="s">
        <v>238</v>
      </c>
      <c r="N17" s="1"/>
      <c r="O17">
        <f t="shared" si="2"/>
        <v>12</v>
      </c>
      <c r="P17" s="1" t="s">
        <v>113</v>
      </c>
      <c r="Q17" s="1"/>
      <c r="R17" s="1"/>
    </row>
    <row r="18" spans="1:19" customFormat="1" x14ac:dyDescent="0.25">
      <c r="A18" s="2">
        <f t="shared" si="0"/>
        <v>13</v>
      </c>
      <c r="B18" s="1" t="s">
        <v>147</v>
      </c>
      <c r="C18" s="1" t="s">
        <v>300</v>
      </c>
      <c r="D18" s="2" t="s">
        <v>206</v>
      </c>
      <c r="E18" s="1"/>
      <c r="F18" s="12" t="s">
        <v>47</v>
      </c>
      <c r="G18" s="27" t="s">
        <v>326</v>
      </c>
      <c r="H18" s="2" t="s">
        <v>46</v>
      </c>
      <c r="I18" s="1" t="s">
        <v>274</v>
      </c>
      <c r="J18" s="15">
        <f t="shared" si="1"/>
        <v>13</v>
      </c>
      <c r="K18" s="1" t="s">
        <v>154</v>
      </c>
      <c r="L18" s="1" t="s">
        <v>384</v>
      </c>
      <c r="M18" s="1" t="s">
        <v>237</v>
      </c>
      <c r="N18" s="1"/>
      <c r="O18">
        <f t="shared" si="2"/>
        <v>13</v>
      </c>
      <c r="P18" s="1" t="s">
        <v>114</v>
      </c>
      <c r="Q18" s="1"/>
      <c r="R18" s="1"/>
    </row>
    <row r="19" spans="1:19" customFormat="1" x14ac:dyDescent="0.25">
      <c r="A19" s="2">
        <f t="shared" si="0"/>
        <v>14</v>
      </c>
      <c r="B19" s="1" t="s">
        <v>148</v>
      </c>
      <c r="C19" s="1" t="s">
        <v>301</v>
      </c>
      <c r="D19" s="2"/>
      <c r="E19" s="1" t="s">
        <v>281</v>
      </c>
      <c r="F19" s="12" t="s">
        <v>142</v>
      </c>
      <c r="G19" s="27" t="s">
        <v>324</v>
      </c>
      <c r="H19" s="2" t="s">
        <v>245</v>
      </c>
      <c r="I19" s="1"/>
      <c r="J19" s="15">
        <f t="shared" si="1"/>
        <v>14</v>
      </c>
      <c r="K19" s="1" t="s">
        <v>155</v>
      </c>
      <c r="L19" s="1" t="s">
        <v>385</v>
      </c>
      <c r="M19" s="1" t="s">
        <v>236</v>
      </c>
      <c r="N19" s="1"/>
      <c r="O19">
        <f t="shared" si="2"/>
        <v>14</v>
      </c>
      <c r="P19" s="1" t="s">
        <v>115</v>
      </c>
      <c r="Q19" s="1"/>
      <c r="R19" s="1"/>
    </row>
    <row r="20" spans="1:19" customFormat="1" x14ac:dyDescent="0.25">
      <c r="A20" s="5">
        <f t="shared" si="0"/>
        <v>15</v>
      </c>
      <c r="B20" s="6" t="s">
        <v>149</v>
      </c>
      <c r="C20" s="6" t="s">
        <v>303</v>
      </c>
      <c r="D20" s="5"/>
      <c r="E20" s="6" t="s">
        <v>282</v>
      </c>
      <c r="F20" s="13" t="s">
        <v>143</v>
      </c>
      <c r="G20" s="6" t="s">
        <v>332</v>
      </c>
      <c r="H20" s="5" t="s">
        <v>228</v>
      </c>
      <c r="I20" s="6"/>
      <c r="J20" s="16">
        <f t="shared" si="1"/>
        <v>15</v>
      </c>
      <c r="K20" s="6" t="s">
        <v>156</v>
      </c>
      <c r="L20" s="6" t="s">
        <v>361</v>
      </c>
      <c r="M20" s="6" t="s">
        <v>235</v>
      </c>
      <c r="N20" s="6"/>
      <c r="O20" s="8">
        <f t="shared" si="2"/>
        <v>15</v>
      </c>
      <c r="P20" s="6" t="s">
        <v>116</v>
      </c>
      <c r="Q20" s="6"/>
      <c r="R20" s="6"/>
      <c r="S20" s="8"/>
    </row>
    <row r="21" spans="1:19" customFormat="1" x14ac:dyDescent="0.25">
      <c r="A21" s="2">
        <f t="shared" si="0"/>
        <v>16</v>
      </c>
      <c r="B21" s="1" t="s">
        <v>14</v>
      </c>
      <c r="C21" s="1" t="s">
        <v>304</v>
      </c>
      <c r="D21" s="2">
        <v>8</v>
      </c>
      <c r="E21" s="1" t="s">
        <v>257</v>
      </c>
      <c r="F21" s="12" t="s">
        <v>35</v>
      </c>
      <c r="G21" s="27" t="s">
        <v>346</v>
      </c>
      <c r="H21" s="2" t="s">
        <v>34</v>
      </c>
      <c r="I21" s="1" t="s">
        <v>269</v>
      </c>
      <c r="J21" s="15">
        <f t="shared" si="1"/>
        <v>16</v>
      </c>
      <c r="K21" s="1" t="s">
        <v>157</v>
      </c>
      <c r="L21" s="1" t="s">
        <v>383</v>
      </c>
      <c r="M21" s="1" t="s">
        <v>234</v>
      </c>
      <c r="N21" s="1"/>
      <c r="O21">
        <f t="shared" si="2"/>
        <v>16</v>
      </c>
      <c r="P21" s="1" t="s">
        <v>117</v>
      </c>
      <c r="Q21" s="1" t="s">
        <v>405</v>
      </c>
      <c r="R21" s="1" t="s">
        <v>220</v>
      </c>
    </row>
    <row r="22" spans="1:19" customFormat="1" x14ac:dyDescent="0.25">
      <c r="A22" s="2">
        <f t="shared" si="0"/>
        <v>17</v>
      </c>
      <c r="B22" s="1" t="s">
        <v>13</v>
      </c>
      <c r="C22" s="1" t="s">
        <v>305</v>
      </c>
      <c r="D22" s="2">
        <v>7</v>
      </c>
      <c r="E22" s="1" t="s">
        <v>258</v>
      </c>
      <c r="F22" s="12" t="s">
        <v>33</v>
      </c>
      <c r="G22" s="27" t="s">
        <v>344</v>
      </c>
      <c r="H22" s="2" t="s">
        <v>32</v>
      </c>
      <c r="I22" s="1" t="s">
        <v>270</v>
      </c>
      <c r="J22" s="15">
        <f t="shared" si="1"/>
        <v>17</v>
      </c>
      <c r="K22" s="1" t="s">
        <v>158</v>
      </c>
      <c r="L22" s="1" t="s">
        <v>375</v>
      </c>
      <c r="M22" s="1" t="s">
        <v>233</v>
      </c>
      <c r="N22" s="1"/>
      <c r="O22">
        <f t="shared" si="2"/>
        <v>17</v>
      </c>
      <c r="P22" s="1" t="s">
        <v>118</v>
      </c>
      <c r="Q22" s="1" t="s">
        <v>404</v>
      </c>
      <c r="R22" s="1" t="s">
        <v>219</v>
      </c>
    </row>
    <row r="23" spans="1:19" customFormat="1" x14ac:dyDescent="0.25">
      <c r="A23" s="2">
        <f t="shared" si="0"/>
        <v>18</v>
      </c>
      <c r="B23" s="1" t="s">
        <v>69</v>
      </c>
      <c r="C23" s="1" t="s">
        <v>306</v>
      </c>
      <c r="D23" s="2" t="s">
        <v>68</v>
      </c>
      <c r="E23" s="1" t="s">
        <v>256</v>
      </c>
      <c r="F23" s="12" t="s">
        <v>25</v>
      </c>
      <c r="G23" s="27" t="s">
        <v>341</v>
      </c>
      <c r="H23" s="2" t="s">
        <v>24</v>
      </c>
      <c r="I23" s="1" t="s">
        <v>265</v>
      </c>
      <c r="J23" s="15">
        <f t="shared" si="1"/>
        <v>18</v>
      </c>
      <c r="K23" s="1" t="s">
        <v>159</v>
      </c>
      <c r="L23" s="1" t="s">
        <v>362</v>
      </c>
      <c r="M23" s="1" t="s">
        <v>232</v>
      </c>
      <c r="N23" s="1"/>
      <c r="O23">
        <f t="shared" si="2"/>
        <v>18</v>
      </c>
      <c r="P23" s="1" t="s">
        <v>119</v>
      </c>
      <c r="Q23" s="1" t="s">
        <v>402</v>
      </c>
      <c r="R23" s="1" t="s">
        <v>216</v>
      </c>
    </row>
    <row r="24" spans="1:19" customFormat="1" x14ac:dyDescent="0.25">
      <c r="A24" s="2">
        <f t="shared" si="0"/>
        <v>19</v>
      </c>
      <c r="B24" s="1" t="s">
        <v>71</v>
      </c>
      <c r="C24" s="1" t="s">
        <v>307</v>
      </c>
      <c r="D24" s="2" t="s">
        <v>70</v>
      </c>
      <c r="E24" s="1" t="s">
        <v>256</v>
      </c>
      <c r="F24" s="12" t="s">
        <v>27</v>
      </c>
      <c r="G24" s="27" t="s">
        <v>340</v>
      </c>
      <c r="H24" s="2" t="s">
        <v>26</v>
      </c>
      <c r="I24" s="1" t="s">
        <v>266</v>
      </c>
      <c r="J24" s="15">
        <f t="shared" si="1"/>
        <v>19</v>
      </c>
      <c r="K24" s="1" t="s">
        <v>160</v>
      </c>
      <c r="L24" s="1" t="s">
        <v>364</v>
      </c>
      <c r="M24" s="1" t="s">
        <v>231</v>
      </c>
      <c r="N24" s="1"/>
      <c r="O24">
        <f t="shared" si="2"/>
        <v>19</v>
      </c>
      <c r="P24" s="1" t="s">
        <v>120</v>
      </c>
      <c r="Q24" s="1" t="s">
        <v>403</v>
      </c>
      <c r="R24" s="1" t="s">
        <v>217</v>
      </c>
    </row>
    <row r="25" spans="1:19" customFormat="1" x14ac:dyDescent="0.25">
      <c r="A25" s="2">
        <f t="shared" si="0"/>
        <v>20</v>
      </c>
      <c r="B25" s="1" t="s">
        <v>96</v>
      </c>
      <c r="C25" s="1" t="s">
        <v>308</v>
      </c>
      <c r="D25" s="2" t="s">
        <v>104</v>
      </c>
      <c r="E25" s="1"/>
      <c r="F25" s="12" t="s">
        <v>77</v>
      </c>
      <c r="G25" s="27" t="s">
        <v>342</v>
      </c>
      <c r="H25" s="2" t="s">
        <v>76</v>
      </c>
      <c r="I25" s="1"/>
      <c r="J25" s="15">
        <f t="shared" si="1"/>
        <v>20</v>
      </c>
      <c r="K25" s="1" t="s">
        <v>161</v>
      </c>
      <c r="L25" s="1" t="s">
        <v>374</v>
      </c>
      <c r="M25" s="1" t="s">
        <v>229</v>
      </c>
      <c r="N25" s="1"/>
      <c r="O25">
        <f t="shared" si="2"/>
        <v>20</v>
      </c>
      <c r="P25" s="1" t="s">
        <v>121</v>
      </c>
      <c r="Q25" s="1" t="s">
        <v>396</v>
      </c>
      <c r="R25" s="1" t="s">
        <v>218</v>
      </c>
    </row>
    <row r="26" spans="1:19" customFormat="1" x14ac:dyDescent="0.25">
      <c r="A26" s="2">
        <f t="shared" si="0"/>
        <v>21</v>
      </c>
      <c r="B26" s="1" t="s">
        <v>97</v>
      </c>
      <c r="C26" s="1" t="s">
        <v>309</v>
      </c>
      <c r="D26" s="2" t="s">
        <v>104</v>
      </c>
      <c r="E26" s="1"/>
      <c r="F26" s="12" t="s">
        <v>79</v>
      </c>
      <c r="G26" s="27" t="s">
        <v>345</v>
      </c>
      <c r="H26" s="2" t="s">
        <v>78</v>
      </c>
      <c r="I26" s="1"/>
      <c r="J26" s="15">
        <f t="shared" si="1"/>
        <v>21</v>
      </c>
      <c r="K26" s="1" t="s">
        <v>162</v>
      </c>
      <c r="L26" s="1" t="s">
        <v>358</v>
      </c>
      <c r="M26" s="1" t="s">
        <v>230</v>
      </c>
      <c r="N26" s="1"/>
      <c r="O26">
        <f t="shared" si="2"/>
        <v>21</v>
      </c>
      <c r="P26" s="1" t="s">
        <v>122</v>
      </c>
      <c r="Q26" s="1" t="s">
        <v>401</v>
      </c>
      <c r="R26" s="1" t="s">
        <v>207</v>
      </c>
    </row>
    <row r="27" spans="1:19" customFormat="1" x14ac:dyDescent="0.25">
      <c r="A27" s="2">
        <f t="shared" si="0"/>
        <v>22</v>
      </c>
      <c r="B27" s="1" t="s">
        <v>98</v>
      </c>
      <c r="C27" s="1" t="s">
        <v>310</v>
      </c>
      <c r="D27" s="2" t="s">
        <v>104</v>
      </c>
      <c r="E27" s="1"/>
      <c r="F27" s="12" t="s">
        <v>31</v>
      </c>
      <c r="G27" s="27" t="s">
        <v>347</v>
      </c>
      <c r="H27" s="2" t="s">
        <v>30</v>
      </c>
      <c r="I27" s="1" t="s">
        <v>271</v>
      </c>
      <c r="J27" s="15">
        <f t="shared" si="1"/>
        <v>22</v>
      </c>
      <c r="K27" s="1" t="s">
        <v>89</v>
      </c>
      <c r="L27" s="1" t="s">
        <v>355</v>
      </c>
      <c r="M27" s="1" t="s">
        <v>187</v>
      </c>
      <c r="N27" s="1"/>
      <c r="O27">
        <f t="shared" si="2"/>
        <v>22</v>
      </c>
      <c r="P27" s="1" t="s">
        <v>123</v>
      </c>
      <c r="Q27" s="1" t="s">
        <v>394</v>
      </c>
      <c r="R27" s="1" t="s">
        <v>199</v>
      </c>
    </row>
    <row r="28" spans="1:19" customFormat="1" x14ac:dyDescent="0.25">
      <c r="A28" s="2">
        <f t="shared" si="0"/>
        <v>23</v>
      </c>
      <c r="B28" s="1" t="s">
        <v>99</v>
      </c>
      <c r="C28" s="1" t="s">
        <v>311</v>
      </c>
      <c r="D28" s="2" t="s">
        <v>104</v>
      </c>
      <c r="E28" s="1"/>
      <c r="F28" s="12" t="s">
        <v>29</v>
      </c>
      <c r="G28" s="27" t="s">
        <v>348</v>
      </c>
      <c r="H28" s="2" t="s">
        <v>28</v>
      </c>
      <c r="I28" s="1" t="s">
        <v>272</v>
      </c>
      <c r="J28" s="15">
        <f t="shared" si="1"/>
        <v>23</v>
      </c>
      <c r="K28" s="1" t="s">
        <v>163</v>
      </c>
      <c r="L28" s="1" t="s">
        <v>370</v>
      </c>
      <c r="M28" s="1" t="s">
        <v>247</v>
      </c>
      <c r="N28" s="1"/>
      <c r="O28">
        <f t="shared" si="2"/>
        <v>23</v>
      </c>
      <c r="P28" s="1" t="s">
        <v>124</v>
      </c>
      <c r="Q28" s="1" t="s">
        <v>395</v>
      </c>
      <c r="R28" s="1" t="s">
        <v>200</v>
      </c>
    </row>
    <row r="29" spans="1:19" customFormat="1" x14ac:dyDescent="0.25">
      <c r="A29" s="2">
        <f t="shared" si="0"/>
        <v>24</v>
      </c>
      <c r="B29" s="1" t="s">
        <v>100</v>
      </c>
      <c r="C29" s="1" t="s">
        <v>312</v>
      </c>
      <c r="D29" s="2" t="s">
        <v>104</v>
      </c>
      <c r="E29" s="1"/>
      <c r="F29" s="12" t="s">
        <v>41</v>
      </c>
      <c r="G29" s="27" t="s">
        <v>336</v>
      </c>
      <c r="H29" s="2" t="s">
        <v>40</v>
      </c>
      <c r="I29" s="1"/>
      <c r="J29" s="15">
        <f t="shared" si="1"/>
        <v>24</v>
      </c>
      <c r="K29" s="1" t="s">
        <v>86</v>
      </c>
      <c r="L29" s="1" t="s">
        <v>373</v>
      </c>
      <c r="M29" s="1" t="s">
        <v>181</v>
      </c>
      <c r="N29" s="1"/>
      <c r="O29">
        <f t="shared" si="2"/>
        <v>24</v>
      </c>
      <c r="P29" s="1" t="s">
        <v>125</v>
      </c>
      <c r="Q29" s="1" t="s">
        <v>397</v>
      </c>
      <c r="R29" s="1" t="s">
        <v>201</v>
      </c>
    </row>
    <row r="30" spans="1:19" customFormat="1" x14ac:dyDescent="0.25">
      <c r="A30" s="2">
        <f t="shared" si="0"/>
        <v>25</v>
      </c>
      <c r="B30" s="1" t="s">
        <v>101</v>
      </c>
      <c r="C30" s="1" t="s">
        <v>313</v>
      </c>
      <c r="D30" s="2" t="s">
        <v>104</v>
      </c>
      <c r="E30" s="1"/>
      <c r="F30" s="12" t="s">
        <v>43</v>
      </c>
      <c r="G30" s="27" t="s">
        <v>339</v>
      </c>
      <c r="H30" s="2" t="s">
        <v>42</v>
      </c>
      <c r="I30" s="1"/>
      <c r="J30" s="15">
        <f t="shared" si="1"/>
        <v>25</v>
      </c>
      <c r="K30" s="1" t="s">
        <v>91</v>
      </c>
      <c r="L30" s="1" t="s">
        <v>367</v>
      </c>
      <c r="M30" s="1" t="s">
        <v>182</v>
      </c>
      <c r="N30" s="1"/>
      <c r="O30">
        <f t="shared" si="2"/>
        <v>25</v>
      </c>
      <c r="P30" s="1" t="s">
        <v>126</v>
      </c>
      <c r="Q30" s="1" t="s">
        <v>400</v>
      </c>
      <c r="R30" s="1" t="s">
        <v>202</v>
      </c>
    </row>
    <row r="31" spans="1:19" customFormat="1" x14ac:dyDescent="0.25">
      <c r="A31" s="2">
        <f t="shared" si="0"/>
        <v>26</v>
      </c>
      <c r="B31" s="1" t="s">
        <v>102</v>
      </c>
      <c r="C31" s="1" t="s">
        <v>314</v>
      </c>
      <c r="D31" s="2" t="s">
        <v>104</v>
      </c>
      <c r="E31" s="1"/>
      <c r="F31" s="12" t="s">
        <v>37</v>
      </c>
      <c r="G31" s="27" t="s">
        <v>343</v>
      </c>
      <c r="H31" s="2" t="s">
        <v>36</v>
      </c>
      <c r="I31" s="1" t="s">
        <v>267</v>
      </c>
      <c r="J31" s="15">
        <f t="shared" si="1"/>
        <v>26</v>
      </c>
      <c r="K31" s="1" t="s">
        <v>90</v>
      </c>
      <c r="L31" s="1" t="s">
        <v>363</v>
      </c>
      <c r="M31" s="1" t="s">
        <v>183</v>
      </c>
      <c r="N31" s="1"/>
      <c r="O31">
        <f t="shared" si="2"/>
        <v>26</v>
      </c>
      <c r="P31" s="1" t="s">
        <v>127</v>
      </c>
      <c r="Q31" s="1" t="s">
        <v>398</v>
      </c>
      <c r="R31" s="1" t="s">
        <v>203</v>
      </c>
    </row>
    <row r="32" spans="1:19" customFormat="1" x14ac:dyDescent="0.25">
      <c r="A32" s="2">
        <f t="shared" si="0"/>
        <v>27</v>
      </c>
      <c r="B32" s="1" t="s">
        <v>103</v>
      </c>
      <c r="C32" s="1" t="s">
        <v>315</v>
      </c>
      <c r="D32" s="2" t="s">
        <v>104</v>
      </c>
      <c r="E32" s="1"/>
      <c r="F32" s="12" t="s">
        <v>39</v>
      </c>
      <c r="G32" s="27" t="s">
        <v>407</v>
      </c>
      <c r="H32" s="2" t="s">
        <v>38</v>
      </c>
      <c r="I32" s="1" t="s">
        <v>268</v>
      </c>
      <c r="J32" s="15">
        <f t="shared" si="1"/>
        <v>27</v>
      </c>
      <c r="K32" s="1" t="s">
        <v>87</v>
      </c>
      <c r="L32" s="1" t="s">
        <v>388</v>
      </c>
      <c r="M32" s="1" t="s">
        <v>184</v>
      </c>
      <c r="N32" s="1"/>
      <c r="O32">
        <f t="shared" si="2"/>
        <v>27</v>
      </c>
      <c r="P32" s="1" t="s">
        <v>128</v>
      </c>
      <c r="Q32" s="1" t="s">
        <v>399</v>
      </c>
      <c r="R32" s="1" t="s">
        <v>204</v>
      </c>
    </row>
    <row r="33" spans="1:19" customFormat="1" x14ac:dyDescent="0.25">
      <c r="A33" s="2">
        <f t="shared" si="0"/>
        <v>28</v>
      </c>
      <c r="B33" s="1" t="s">
        <v>67</v>
      </c>
      <c r="C33" s="1" t="s">
        <v>316</v>
      </c>
      <c r="D33" s="2" t="s">
        <v>66</v>
      </c>
      <c r="E33" s="1" t="s">
        <v>259</v>
      </c>
      <c r="F33" s="12" t="s">
        <v>73</v>
      </c>
      <c r="G33" s="27" t="s">
        <v>337</v>
      </c>
      <c r="H33" s="2" t="s">
        <v>72</v>
      </c>
      <c r="I33" s="1"/>
      <c r="J33" s="15">
        <f t="shared" si="1"/>
        <v>28</v>
      </c>
      <c r="K33" s="1" t="s">
        <v>88</v>
      </c>
      <c r="L33" s="1" t="s">
        <v>357</v>
      </c>
      <c r="M33" s="1" t="s">
        <v>185</v>
      </c>
      <c r="N33" s="1"/>
      <c r="O33">
        <f t="shared" si="2"/>
        <v>28</v>
      </c>
      <c r="P33" s="1" t="s">
        <v>129</v>
      </c>
      <c r="Q33" s="1"/>
      <c r="R33" s="1"/>
    </row>
    <row r="34" spans="1:19" customFormat="1" x14ac:dyDescent="0.25">
      <c r="A34" s="2">
        <f t="shared" si="0"/>
        <v>29</v>
      </c>
      <c r="B34" s="1" t="s">
        <v>65</v>
      </c>
      <c r="C34" s="1" t="s">
        <v>317</v>
      </c>
      <c r="D34" s="2" t="s">
        <v>64</v>
      </c>
      <c r="E34" s="1" t="s">
        <v>260</v>
      </c>
      <c r="F34" s="12" t="s">
        <v>75</v>
      </c>
      <c r="G34" s="27" t="s">
        <v>338</v>
      </c>
      <c r="H34" s="2" t="s">
        <v>74</v>
      </c>
      <c r="I34" s="1"/>
      <c r="J34" s="15">
        <f t="shared" si="1"/>
        <v>29</v>
      </c>
      <c r="K34" s="1" t="s">
        <v>92</v>
      </c>
      <c r="L34" s="1" t="s">
        <v>356</v>
      </c>
      <c r="M34" s="1" t="s">
        <v>186</v>
      </c>
      <c r="N34" s="1"/>
      <c r="O34">
        <f t="shared" si="2"/>
        <v>29</v>
      </c>
      <c r="P34" s="1" t="s">
        <v>130</v>
      </c>
      <c r="Q34" s="1"/>
      <c r="R34" s="1"/>
    </row>
    <row r="35" spans="1:19" customFormat="1" x14ac:dyDescent="0.25">
      <c r="A35" s="2">
        <f t="shared" si="0"/>
        <v>30</v>
      </c>
      <c r="B35" s="1" t="s">
        <v>105</v>
      </c>
      <c r="C35" s="1" t="s">
        <v>318</v>
      </c>
      <c r="D35" s="2" t="s">
        <v>104</v>
      </c>
      <c r="E35" s="1"/>
      <c r="F35" s="12" t="s">
        <v>49</v>
      </c>
      <c r="G35" s="27" t="s">
        <v>335</v>
      </c>
      <c r="H35" s="2" t="s">
        <v>48</v>
      </c>
      <c r="I35" s="1" t="s">
        <v>278</v>
      </c>
      <c r="J35" s="15">
        <f t="shared" si="1"/>
        <v>30</v>
      </c>
      <c r="K35" s="1" t="s">
        <v>164</v>
      </c>
      <c r="L35" s="1" t="s">
        <v>291</v>
      </c>
      <c r="M35" s="1"/>
      <c r="N35" s="1"/>
      <c r="O35">
        <f t="shared" si="2"/>
        <v>30</v>
      </c>
      <c r="P35" s="1" t="s">
        <v>131</v>
      </c>
      <c r="Q35" s="1"/>
      <c r="R35" s="1"/>
    </row>
    <row r="36" spans="1:19" customFormat="1" x14ac:dyDescent="0.25">
      <c r="A36" s="5">
        <f t="shared" si="0"/>
        <v>31</v>
      </c>
      <c r="B36" s="6" t="s">
        <v>106</v>
      </c>
      <c r="C36" s="6" t="s">
        <v>319</v>
      </c>
      <c r="D36" s="5" t="s">
        <v>104</v>
      </c>
      <c r="E36" s="6"/>
      <c r="F36" s="13" t="s">
        <v>51</v>
      </c>
      <c r="G36" s="6" t="s">
        <v>323</v>
      </c>
      <c r="H36" s="5" t="s">
        <v>50</v>
      </c>
      <c r="I36" s="6" t="s">
        <v>277</v>
      </c>
      <c r="J36" s="16">
        <f t="shared" si="1"/>
        <v>31</v>
      </c>
      <c r="K36" s="6" t="s">
        <v>55</v>
      </c>
      <c r="L36" s="6" t="s">
        <v>360</v>
      </c>
      <c r="M36" s="6" t="s">
        <v>54</v>
      </c>
      <c r="N36" s="6" t="s">
        <v>262</v>
      </c>
      <c r="O36" s="8">
        <f t="shared" si="2"/>
        <v>31</v>
      </c>
      <c r="P36" s="6" t="s">
        <v>132</v>
      </c>
      <c r="Q36" s="6"/>
      <c r="R36" s="6"/>
      <c r="S36" s="8"/>
    </row>
    <row r="37" spans="1:19" customFormat="1" x14ac:dyDescent="0.25">
      <c r="A37" s="2"/>
      <c r="B37" s="1"/>
      <c r="C37" s="1"/>
      <c r="D37" s="17"/>
      <c r="E37" s="17"/>
      <c r="F37" s="17"/>
      <c r="G37" s="17"/>
      <c r="H37" s="17"/>
      <c r="I37" s="18"/>
      <c r="J37" s="15">
        <f t="shared" si="1"/>
        <v>32</v>
      </c>
      <c r="K37" s="7" t="s">
        <v>211</v>
      </c>
      <c r="L37" s="7"/>
      <c r="M37" s="1"/>
      <c r="N37" s="1"/>
      <c r="P37" s="1"/>
      <c r="Q37" s="1"/>
      <c r="R37" s="1"/>
    </row>
    <row r="38" spans="1:19" customFormat="1" x14ac:dyDescent="0.25">
      <c r="A38" s="2">
        <f>A36+1</f>
        <v>32</v>
      </c>
      <c r="B38" s="1"/>
      <c r="C38" s="1"/>
      <c r="D38" s="1"/>
      <c r="E38" s="1"/>
      <c r="F38" s="1"/>
      <c r="G38" s="1"/>
      <c r="H38" s="1"/>
      <c r="I38" s="19"/>
      <c r="J38" s="15">
        <f t="shared" si="1"/>
        <v>33</v>
      </c>
      <c r="K38" s="1" t="s">
        <v>53</v>
      </c>
      <c r="L38" s="1" t="s">
        <v>382</v>
      </c>
      <c r="M38" s="1" t="s">
        <v>52</v>
      </c>
      <c r="N38" s="1" t="s">
        <v>261</v>
      </c>
      <c r="P38" s="1"/>
      <c r="Q38" s="1"/>
      <c r="R38" s="1"/>
    </row>
    <row r="39" spans="1:19" customFormat="1" x14ac:dyDescent="0.25">
      <c r="A39" s="2">
        <f t="shared" si="0"/>
        <v>33</v>
      </c>
      <c r="B39" s="1"/>
      <c r="C39" s="1"/>
      <c r="D39" s="1"/>
      <c r="E39" s="1"/>
      <c r="F39" s="1"/>
      <c r="G39" s="1"/>
      <c r="H39" s="1"/>
      <c r="I39" s="19"/>
      <c r="J39" s="15">
        <f t="shared" si="1"/>
        <v>34</v>
      </c>
      <c r="K39" s="1" t="s">
        <v>165</v>
      </c>
      <c r="L39" s="1" t="s">
        <v>359</v>
      </c>
      <c r="M39" s="1" t="s">
        <v>227</v>
      </c>
      <c r="N39" s="1"/>
      <c r="P39" s="1"/>
      <c r="Q39" s="1"/>
      <c r="R39" s="1"/>
    </row>
    <row r="40" spans="1:19" customFormat="1" x14ac:dyDescent="0.25">
      <c r="A40" s="2">
        <f t="shared" si="0"/>
        <v>34</v>
      </c>
      <c r="B40" s="1"/>
      <c r="C40" s="1"/>
      <c r="D40" s="1"/>
      <c r="E40" s="1"/>
      <c r="F40" s="1"/>
      <c r="G40" s="1"/>
      <c r="H40" s="1"/>
      <c r="I40" s="19"/>
      <c r="J40" s="15">
        <f t="shared" si="1"/>
        <v>35</v>
      </c>
      <c r="K40" s="1" t="s">
        <v>166</v>
      </c>
      <c r="L40" s="1" t="s">
        <v>376</v>
      </c>
      <c r="M40" s="1" t="s">
        <v>226</v>
      </c>
      <c r="N40" s="1"/>
      <c r="P40" s="1"/>
      <c r="Q40" s="1"/>
      <c r="R40" s="1"/>
    </row>
    <row r="41" spans="1:19" customFormat="1" x14ac:dyDescent="0.25">
      <c r="A41" s="2">
        <f t="shared" si="0"/>
        <v>35</v>
      </c>
      <c r="B41" s="1"/>
      <c r="C41" s="1"/>
      <c r="D41" s="1"/>
      <c r="E41" s="1"/>
      <c r="F41" s="1"/>
      <c r="G41" s="1"/>
      <c r="H41" s="1"/>
      <c r="I41" s="19"/>
      <c r="J41" s="15">
        <f t="shared" si="1"/>
        <v>36</v>
      </c>
      <c r="K41" s="1" t="s">
        <v>167</v>
      </c>
      <c r="L41" s="1" t="s">
        <v>381</v>
      </c>
      <c r="M41" s="1" t="s">
        <v>225</v>
      </c>
      <c r="N41" s="1"/>
      <c r="P41" s="1"/>
      <c r="Q41" s="1"/>
      <c r="R41" s="1"/>
    </row>
    <row r="42" spans="1:19" customFormat="1" x14ac:dyDescent="0.25">
      <c r="A42" s="2">
        <f t="shared" si="0"/>
        <v>36</v>
      </c>
      <c r="B42" s="1"/>
      <c r="C42" s="1"/>
      <c r="D42" s="1"/>
      <c r="E42" s="1"/>
      <c r="F42" s="1"/>
      <c r="G42" s="1"/>
      <c r="H42" s="1"/>
      <c r="I42" s="19"/>
      <c r="J42" s="15">
        <f t="shared" si="1"/>
        <v>37</v>
      </c>
      <c r="K42" s="1" t="s">
        <v>59</v>
      </c>
      <c r="L42" s="1" t="s">
        <v>292</v>
      </c>
      <c r="M42" s="1" t="s">
        <v>58</v>
      </c>
      <c r="N42" s="1" t="s">
        <v>264</v>
      </c>
      <c r="P42" s="1"/>
      <c r="Q42" s="1"/>
      <c r="R42" s="1"/>
    </row>
    <row r="43" spans="1:19" customFormat="1" x14ac:dyDescent="0.25">
      <c r="A43" s="2">
        <f t="shared" si="0"/>
        <v>37</v>
      </c>
      <c r="B43" s="1"/>
      <c r="C43" s="1"/>
      <c r="D43" s="1"/>
      <c r="E43" s="1"/>
      <c r="F43" s="1"/>
      <c r="G43" s="1"/>
      <c r="H43" s="1"/>
      <c r="I43" s="19"/>
      <c r="J43" s="15">
        <f t="shared" si="1"/>
        <v>38</v>
      </c>
      <c r="K43" s="1" t="s">
        <v>57</v>
      </c>
      <c r="L43" s="1" t="s">
        <v>377</v>
      </c>
      <c r="M43" s="1" t="s">
        <v>56</v>
      </c>
      <c r="N43" s="1" t="s">
        <v>263</v>
      </c>
      <c r="P43" s="1"/>
      <c r="Q43" s="1"/>
      <c r="R43" s="1"/>
    </row>
    <row r="44" spans="1:19" customFormat="1" x14ac:dyDescent="0.25">
      <c r="A44" s="2">
        <f t="shared" si="0"/>
        <v>38</v>
      </c>
      <c r="B44" s="1"/>
      <c r="C44" s="1"/>
      <c r="D44" s="1"/>
      <c r="E44" s="1"/>
      <c r="F44" s="1"/>
      <c r="G44" s="1"/>
      <c r="H44" s="1"/>
      <c r="I44" s="19"/>
      <c r="J44" s="15">
        <f t="shared" si="1"/>
        <v>39</v>
      </c>
      <c r="K44" s="1" t="s">
        <v>188</v>
      </c>
      <c r="L44" s="1" t="s">
        <v>386</v>
      </c>
      <c r="M44" s="1" t="s">
        <v>224</v>
      </c>
      <c r="N44" s="1"/>
      <c r="P44" s="1"/>
      <c r="Q44" s="1"/>
      <c r="R44" s="1"/>
    </row>
    <row r="45" spans="1:19" customFormat="1" x14ac:dyDescent="0.25">
      <c r="A45" s="2">
        <f t="shared" si="0"/>
        <v>39</v>
      </c>
      <c r="B45" s="1"/>
      <c r="C45" s="1"/>
      <c r="D45" s="1"/>
      <c r="E45" s="1"/>
      <c r="F45" s="1"/>
      <c r="G45" s="1"/>
      <c r="H45" s="1"/>
      <c r="I45" s="19"/>
      <c r="J45" s="15">
        <f t="shared" si="1"/>
        <v>40</v>
      </c>
      <c r="K45" s="1" t="s">
        <v>189</v>
      </c>
      <c r="L45" s="1" t="s">
        <v>365</v>
      </c>
      <c r="M45" s="1" t="s">
        <v>223</v>
      </c>
      <c r="N45" s="1"/>
      <c r="P45" s="1"/>
      <c r="Q45" s="1"/>
      <c r="R45" s="1"/>
    </row>
    <row r="46" spans="1:19" customFormat="1" x14ac:dyDescent="0.25">
      <c r="A46" s="2">
        <f t="shared" si="0"/>
        <v>40</v>
      </c>
      <c r="B46" s="1"/>
      <c r="C46" s="1"/>
      <c r="D46" s="1"/>
      <c r="E46" s="1"/>
      <c r="F46" s="1"/>
      <c r="G46" s="1"/>
      <c r="H46" s="1"/>
      <c r="I46" s="19"/>
      <c r="J46" s="15">
        <f t="shared" si="1"/>
        <v>41</v>
      </c>
      <c r="K46" s="1" t="s">
        <v>190</v>
      </c>
      <c r="L46" s="1" t="s">
        <v>387</v>
      </c>
      <c r="M46" s="1" t="s">
        <v>191</v>
      </c>
      <c r="N46" s="1"/>
      <c r="P46" s="1"/>
      <c r="Q46" s="1"/>
      <c r="R46" s="1"/>
    </row>
    <row r="47" spans="1:19" customFormat="1" x14ac:dyDescent="0.25">
      <c r="A47" s="2">
        <f t="shared" si="0"/>
        <v>41</v>
      </c>
      <c r="B47" s="1"/>
      <c r="C47" s="1"/>
      <c r="D47" s="1"/>
      <c r="E47" s="1"/>
      <c r="F47" s="1"/>
      <c r="G47" s="1"/>
      <c r="H47" s="1"/>
      <c r="I47" s="19"/>
      <c r="J47" s="15">
        <f t="shared" si="1"/>
        <v>42</v>
      </c>
      <c r="K47" s="1" t="s">
        <v>222</v>
      </c>
      <c r="L47" s="1" t="s">
        <v>293</v>
      </c>
      <c r="M47" s="1" t="s">
        <v>221</v>
      </c>
      <c r="N47" s="1"/>
      <c r="P47" s="1"/>
      <c r="Q47" s="1"/>
      <c r="R47" s="1"/>
    </row>
  </sheetData>
  <mergeCells count="3">
    <mergeCell ref="A1:R1"/>
    <mergeCell ref="A2:R2"/>
    <mergeCell ref="A3:R3"/>
  </mergeCells>
  <phoneticPr fontId="2" type="noConversion"/>
  <pageMargins left="0.7" right="0.7" top="0.75" bottom="0.75" header="0.3" footer="0.3"/>
  <pageSetup orientation="portrait" r:id="rId1"/>
  <ignoredErrors>
    <ignoredError sqref="D5:D8 H7:H8 M9:M13 D33:D34 M38 M35:M36 M42:M43 D19:D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Howard Hughes Medical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Sawtelle, Steven</dc:creator>
  <cp:lastModifiedBy>Sawtelle, Steven</cp:lastModifiedBy>
  <dcterms:created xsi:type="dcterms:W3CDTF">2025-04-06T14:17:39Z</dcterms:created>
  <dcterms:modified xsi:type="dcterms:W3CDTF">2026-06-09T19:54:24Z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2026-01-17T21:39:34Z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3ae97e41-ba1e-41c4-8d02-6ae3ddb11642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10, 3, 0, 1</vt:lpwstr>
  </property>
</Properties>
</file>